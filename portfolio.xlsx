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92bd1676d6a4c0/桌面/Quant Port/"/>
    </mc:Choice>
  </mc:AlternateContent>
  <xr:revisionPtr revIDLastSave="6" documentId="11_8C7D1EFC44E983CE688F03B6215CAA53940286EA" xr6:coauthVersionLast="47" xr6:coauthVersionMax="47" xr10:uidLastSave="{6855FDEC-F663-4C13-8A56-D04223137422}"/>
  <bookViews>
    <workbookView xWindow="-110" yWindow="-110" windowWidth="19420" windowHeight="10420" xr2:uid="{00000000-000D-0000-FFFF-FFFF00000000}"/>
  </bookViews>
  <sheets>
    <sheet name="Tickers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" l="1"/>
  <c r="M4" i="1"/>
  <c r="N4" i="1"/>
  <c r="O4" i="1"/>
  <c r="R4" i="1"/>
  <c r="L2" i="1"/>
  <c r="R2" i="1" s="1"/>
  <c r="M2" i="1"/>
  <c r="N2" i="1"/>
  <c r="O2" i="1"/>
  <c r="K4" i="1"/>
  <c r="Q4" i="1" s="1"/>
  <c r="J4" i="1"/>
  <c r="P4" i="1" s="1"/>
  <c r="J3" i="1"/>
  <c r="P3" i="1" s="1"/>
  <c r="K3" i="1"/>
  <c r="Q2" i="1" s="1"/>
  <c r="Q3" i="1"/>
  <c r="O3" i="1"/>
  <c r="N3" i="1"/>
  <c r="M3" i="1"/>
  <c r="L3" i="1"/>
  <c r="P2" i="1" l="1"/>
  <c r="S4" i="1"/>
  <c r="S2" i="1"/>
  <c r="R3" i="1"/>
  <c r="S3" i="1" s="1"/>
</calcChain>
</file>

<file path=xl/sharedStrings.xml><?xml version="1.0" encoding="utf-8"?>
<sst xmlns="http://schemas.openxmlformats.org/spreadsheetml/2006/main" count="126" uniqueCount="75">
  <si>
    <t>Ticker</t>
  </si>
  <si>
    <t>Current Price</t>
  </si>
  <si>
    <t>Price 3M Ago</t>
  </si>
  <si>
    <t>Price 6M Ago</t>
  </si>
  <si>
    <t>P/E</t>
  </si>
  <si>
    <t>P/B</t>
  </si>
  <si>
    <t>ROE</t>
  </si>
  <si>
    <t>Debt to Equity ratio</t>
  </si>
  <si>
    <t>Dividend Yield</t>
  </si>
  <si>
    <t>3M Momentum</t>
  </si>
  <si>
    <t>6M Momentum</t>
  </si>
  <si>
    <t>Z_PE</t>
  </si>
  <si>
    <t>Z_PB</t>
  </si>
  <si>
    <t>Z_ROE</t>
  </si>
  <si>
    <t>Z Div Yield</t>
  </si>
  <si>
    <t>Z_Mom3M</t>
  </si>
  <si>
    <t>Z_Mom6M</t>
  </si>
  <si>
    <t>Score</t>
  </si>
  <si>
    <t>Rank</t>
  </si>
  <si>
    <t>AAPL</t>
  </si>
  <si>
    <t>MSFT</t>
  </si>
  <si>
    <t>NVDA</t>
  </si>
  <si>
    <t>AMZN</t>
  </si>
  <si>
    <t>GOOGL</t>
  </si>
  <si>
    <t>GOOG</t>
  </si>
  <si>
    <t>META</t>
  </si>
  <si>
    <t>TSLA</t>
  </si>
  <si>
    <t>BRK-B</t>
  </si>
  <si>
    <t>JPM</t>
  </si>
  <si>
    <t>V</t>
  </si>
  <si>
    <t>MA</t>
  </si>
  <si>
    <t>UNH</t>
  </si>
  <si>
    <t>XOM</t>
  </si>
  <si>
    <t>AVGO</t>
  </si>
  <si>
    <t>LLY</t>
  </si>
  <si>
    <t>HD</t>
  </si>
  <si>
    <t>COST</t>
  </si>
  <si>
    <t>PG</t>
  </si>
  <si>
    <t>JNJ</t>
  </si>
  <si>
    <t>AMD</t>
  </si>
  <si>
    <t>NFLX</t>
  </si>
  <si>
    <t>CRM</t>
  </si>
  <si>
    <t>ORCL</t>
  </si>
  <si>
    <t>ADBE</t>
  </si>
  <si>
    <t>INTC</t>
  </si>
  <si>
    <t>PLTR</t>
  </si>
  <si>
    <t>SNOW</t>
  </si>
  <si>
    <t>UBER</t>
  </si>
  <si>
    <t>LYFT</t>
  </si>
  <si>
    <t>SHOP</t>
  </si>
  <si>
    <t>SQ</t>
  </si>
  <si>
    <t>COIN</t>
  </si>
  <si>
    <t>RBLX</t>
  </si>
  <si>
    <t>DIS</t>
  </si>
  <si>
    <t>BABA</t>
  </si>
  <si>
    <t>BIDU</t>
  </si>
  <si>
    <t>PYPL</t>
  </si>
  <si>
    <t>ARM</t>
  </si>
  <si>
    <t>SPY</t>
  </si>
  <si>
    <t>QQQ</t>
  </si>
  <si>
    <t>IWM</t>
  </si>
  <si>
    <t>DIA</t>
  </si>
  <si>
    <t>VOO</t>
  </si>
  <si>
    <t>VTI</t>
  </si>
  <si>
    <t>XLK</t>
  </si>
  <si>
    <t>XLF</t>
  </si>
  <si>
    <t>XLE</t>
  </si>
  <si>
    <t>XLV</t>
  </si>
  <si>
    <t>ARKK</t>
  </si>
  <si>
    <t>TQQQ</t>
  </si>
  <si>
    <t>SQQQ</t>
  </si>
  <si>
    <t>CELH</t>
  </si>
  <si>
    <t>CAGE</t>
  </si>
  <si>
    <t>Debt to Equity</t>
  </si>
  <si>
    <t>Z_Debt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</si>
</sst>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selection activeCell="Q4" sqref="Q4"/>
    </sheetView>
  </sheetViews>
  <sheetFormatPr defaultRowHeight="14.5" x14ac:dyDescent="0.35"/>
  <sheetData>
    <row r="1" spans="1:19" ht="43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s="2" t="s">
        <v>21</v>
      </c>
      <c r="L2">
        <f>-(E2-AVERAGE($E$2:$E$100))/_xlfn.STDEV.P($E$2:$E$100)</f>
        <v>2.5</v>
      </c>
      <c r="M2">
        <f>-(F2-AVERAGE($F$2:$F$100))/_xlfn.STDEV.P($F$2:$F$100)</f>
        <v>5.5</v>
      </c>
      <c r="N2">
        <f>(G2-AVERAGE($G$2:$G$100))/_xlfn.STDEV.P($G$2:$G$100)</f>
        <v>-2.6279069767441836</v>
      </c>
      <c r="O2">
        <f>(I2-AVERAGE($I$2:$I$100))/_xlfn.STDEV.P($I$2:$I$100)</f>
        <v>-1.1052631578947367</v>
      </c>
      <c r="P2">
        <f>(J2-AVERAGE($J$2:$J$100))/_xlfn.STDEV.P($J$2:$J$100)</f>
        <v>-4.1153846153846043</v>
      </c>
      <c r="Q2">
        <f>(K2-AVERAGE($K$2:$K$100))/_xlfn.STDEV.P($K$2:$K$100)</f>
        <v>-2.3878504672897147</v>
      </c>
      <c r="R2">
        <f>0.25*((L2+M2)/2)</f>
        <v>1</v>
      </c>
      <c r="S2">
        <f>_xlfn.RANK.EQ(R2,$R$2:$R$100,0)+COUNTIF($R$2:R2,R2)-1</f>
        <v>1</v>
      </c>
    </row>
    <row r="3" spans="1:19" x14ac:dyDescent="0.35">
      <c r="A3" s="2" t="s">
        <v>19</v>
      </c>
      <c r="B3">
        <v>190</v>
      </c>
      <c r="C3">
        <v>175</v>
      </c>
      <c r="D3">
        <v>165</v>
      </c>
      <c r="E3">
        <v>28</v>
      </c>
      <c r="F3">
        <v>45</v>
      </c>
      <c r="G3">
        <v>0.35</v>
      </c>
      <c r="H3">
        <v>1.2</v>
      </c>
      <c r="I3">
        <v>5.0000000000000001E-3</v>
      </c>
      <c r="J3">
        <f>(B3/C3)-1</f>
        <v>8.5714285714285632E-2</v>
      </c>
      <c r="K3">
        <f>(B3/D3)-1</f>
        <v>0.1515151515151516</v>
      </c>
      <c r="L3">
        <f>-(E3-AVERAGE($E$2:$E$100))/_xlfn.STDEV.P($E$2:$E$100)</f>
        <v>-1</v>
      </c>
      <c r="M3">
        <f>-(F3-AVERAGE($F$2:$F$100))/_xlfn.STDEV.P($F$2:$F$100)</f>
        <v>1</v>
      </c>
      <c r="N3">
        <f>(G3-AVERAGE($G$2:$G$100))/_xlfn.STDEV.P($G$2:$G$100)</f>
        <v>-0.99999999999999911</v>
      </c>
      <c r="O3">
        <f>(I3-AVERAGE($I$2:$I$100))/_xlfn.STDEV.P($I$2:$I$100)</f>
        <v>-1</v>
      </c>
      <c r="P3">
        <f>(J3-AVERAGE($J$2:$J$100))/_xlfn.STDEV.P($J$2:$J$100)</f>
        <v>-1.0000000000000004</v>
      </c>
      <c r="Q3">
        <f>(K3-AVERAGE($K$2:$K$100))/_xlfn.STDEV.P($K$2:$K$100)</f>
        <v>1.0000000000000002</v>
      </c>
      <c r="R3">
        <f>0.25*((L3+M3)/2)</f>
        <v>0</v>
      </c>
      <c r="S3">
        <f>_xlfn.RANK.EQ(R3,$R$2:$R$100,0)+COUNTIF($R$2:R3,R3)-1</f>
        <v>2</v>
      </c>
    </row>
    <row r="4" spans="1:19" x14ac:dyDescent="0.35">
      <c r="A4" s="2" t="s">
        <v>20</v>
      </c>
      <c r="B4">
        <v>154</v>
      </c>
      <c r="C4">
        <v>135</v>
      </c>
      <c r="D4">
        <v>145</v>
      </c>
      <c r="E4">
        <v>12</v>
      </c>
      <c r="F4">
        <v>65</v>
      </c>
      <c r="G4">
        <v>0.78</v>
      </c>
      <c r="H4">
        <v>5.6</v>
      </c>
      <c r="I4">
        <v>0.1</v>
      </c>
      <c r="J4">
        <f>(B4/C4)-1</f>
        <v>0.14074074074074083</v>
      </c>
      <c r="K4">
        <f>(B4/D4)-1</f>
        <v>6.2068965517241281E-2</v>
      </c>
      <c r="L4">
        <f>-(E4-AVERAGE($E$2:$E$100))/_xlfn.STDEV.P($E$2:$E$100)</f>
        <v>1</v>
      </c>
      <c r="M4">
        <f>-(F4-AVERAGE($F$2:$F$100))/_xlfn.STDEV.P($F$2:$F$100)</f>
        <v>-1</v>
      </c>
      <c r="N4">
        <f>(G4-AVERAGE($G$2:$G$100))/_xlfn.STDEV.P($G$2:$G$100)</f>
        <v>0.99999999999999967</v>
      </c>
      <c r="O4">
        <f>(I4-AVERAGE($I$2:$I$100))/_xlfn.STDEV.P($I$2:$I$100)</f>
        <v>0.99999999999999989</v>
      </c>
      <c r="P4">
        <f>(J4-AVERAGE($J$2:$J$100))/_xlfn.STDEV.P($J$2:$J$100)</f>
        <v>1.0000000000000004</v>
      </c>
      <c r="Q4">
        <f>(K4-AVERAGE($K$2:$K$100))/_xlfn.STDEV.P($K$2:$K$100)</f>
        <v>-1.0000000000000002</v>
      </c>
      <c r="R4">
        <f>0.25*((L4+M4)/2)</f>
        <v>0</v>
      </c>
      <c r="S4">
        <f>_xlfn.RANK.EQ(R4,$R$2:$R$100,0)+COUNTIF($R$2:R4,R4)-1</f>
        <v>3</v>
      </c>
    </row>
    <row r="5" spans="1:19" x14ac:dyDescent="0.35">
      <c r="A5" s="2" t="s">
        <v>22</v>
      </c>
    </row>
    <row r="6" spans="1:19" x14ac:dyDescent="0.35">
      <c r="A6" s="2" t="s">
        <v>23</v>
      </c>
    </row>
    <row r="7" spans="1:19" x14ac:dyDescent="0.35">
      <c r="A7" s="2" t="s">
        <v>24</v>
      </c>
    </row>
    <row r="8" spans="1:19" x14ac:dyDescent="0.35">
      <c r="A8" s="2" t="s">
        <v>25</v>
      </c>
    </row>
    <row r="9" spans="1:19" x14ac:dyDescent="0.35">
      <c r="A9" s="2" t="s">
        <v>26</v>
      </c>
    </row>
    <row r="10" spans="1:19" x14ac:dyDescent="0.35">
      <c r="A10" s="2" t="s">
        <v>27</v>
      </c>
    </row>
    <row r="11" spans="1:19" x14ac:dyDescent="0.35">
      <c r="A11" s="2" t="s">
        <v>28</v>
      </c>
    </row>
    <row r="12" spans="1:19" x14ac:dyDescent="0.35">
      <c r="A12" s="2" t="s">
        <v>29</v>
      </c>
    </row>
    <row r="13" spans="1:19" x14ac:dyDescent="0.35">
      <c r="A13" s="2" t="s">
        <v>30</v>
      </c>
    </row>
    <row r="14" spans="1:19" x14ac:dyDescent="0.35">
      <c r="A14" s="2" t="s">
        <v>31</v>
      </c>
    </row>
    <row r="15" spans="1:19" x14ac:dyDescent="0.35">
      <c r="A15" s="2" t="s">
        <v>32</v>
      </c>
    </row>
    <row r="16" spans="1:19" x14ac:dyDescent="0.35">
      <c r="A16" t="s">
        <v>33</v>
      </c>
    </row>
    <row r="17" spans="1:1" x14ac:dyDescent="0.35">
      <c r="A17" t="s">
        <v>34</v>
      </c>
    </row>
    <row r="18" spans="1:1" x14ac:dyDescent="0.35">
      <c r="A18" t="s">
        <v>35</v>
      </c>
    </row>
    <row r="19" spans="1:1" x14ac:dyDescent="0.35">
      <c r="A19" t="s">
        <v>36</v>
      </c>
    </row>
    <row r="20" spans="1:1" x14ac:dyDescent="0.35">
      <c r="A20" t="s">
        <v>37</v>
      </c>
    </row>
    <row r="21" spans="1:1" x14ac:dyDescent="0.35">
      <c r="A21" t="s">
        <v>38</v>
      </c>
    </row>
    <row r="22" spans="1:1" x14ac:dyDescent="0.35">
      <c r="A22" t="s">
        <v>39</v>
      </c>
    </row>
    <row r="23" spans="1:1" x14ac:dyDescent="0.35">
      <c r="A23" t="s">
        <v>40</v>
      </c>
    </row>
    <row r="24" spans="1:1" x14ac:dyDescent="0.35">
      <c r="A24" t="s">
        <v>41</v>
      </c>
    </row>
    <row r="25" spans="1:1" x14ac:dyDescent="0.35">
      <c r="A25" t="s">
        <v>42</v>
      </c>
    </row>
    <row r="26" spans="1:1" x14ac:dyDescent="0.35">
      <c r="A26" t="s">
        <v>43</v>
      </c>
    </row>
    <row r="27" spans="1:1" x14ac:dyDescent="0.35">
      <c r="A27" t="s">
        <v>44</v>
      </c>
    </row>
    <row r="28" spans="1:1" x14ac:dyDescent="0.35">
      <c r="A28" t="s">
        <v>45</v>
      </c>
    </row>
    <row r="29" spans="1:1" x14ac:dyDescent="0.35">
      <c r="A29" t="s">
        <v>46</v>
      </c>
    </row>
    <row r="30" spans="1:1" x14ac:dyDescent="0.35">
      <c r="A30" t="s">
        <v>47</v>
      </c>
    </row>
    <row r="31" spans="1:1" x14ac:dyDescent="0.35">
      <c r="A31" t="s">
        <v>48</v>
      </c>
    </row>
    <row r="32" spans="1:1" x14ac:dyDescent="0.35">
      <c r="A32" t="s">
        <v>49</v>
      </c>
    </row>
    <row r="33" spans="1:1" x14ac:dyDescent="0.35">
      <c r="A33" t="s">
        <v>50</v>
      </c>
    </row>
    <row r="34" spans="1:1" x14ac:dyDescent="0.35">
      <c r="A34" t="s">
        <v>51</v>
      </c>
    </row>
    <row r="35" spans="1:1" x14ac:dyDescent="0.35">
      <c r="A35" t="s">
        <v>52</v>
      </c>
    </row>
    <row r="36" spans="1:1" x14ac:dyDescent="0.35">
      <c r="A36" t="s">
        <v>53</v>
      </c>
    </row>
    <row r="37" spans="1:1" x14ac:dyDescent="0.35">
      <c r="A37" t="s">
        <v>54</v>
      </c>
    </row>
    <row r="38" spans="1:1" x14ac:dyDescent="0.35">
      <c r="A38" t="s">
        <v>55</v>
      </c>
    </row>
    <row r="39" spans="1:1" x14ac:dyDescent="0.35">
      <c r="A39" t="s">
        <v>56</v>
      </c>
    </row>
    <row r="40" spans="1:1" x14ac:dyDescent="0.35">
      <c r="A40" t="s">
        <v>57</v>
      </c>
    </row>
    <row r="41" spans="1:1" x14ac:dyDescent="0.35">
      <c r="A41" t="s">
        <v>58</v>
      </c>
    </row>
    <row r="42" spans="1:1" x14ac:dyDescent="0.35">
      <c r="A42" t="s">
        <v>59</v>
      </c>
    </row>
    <row r="43" spans="1:1" x14ac:dyDescent="0.35">
      <c r="A43" t="s">
        <v>60</v>
      </c>
    </row>
    <row r="44" spans="1:1" x14ac:dyDescent="0.35">
      <c r="A44" t="s">
        <v>61</v>
      </c>
    </row>
    <row r="45" spans="1:1" x14ac:dyDescent="0.35">
      <c r="A45" t="s">
        <v>62</v>
      </c>
    </row>
    <row r="46" spans="1:1" x14ac:dyDescent="0.35">
      <c r="A46" t="s">
        <v>63</v>
      </c>
    </row>
    <row r="47" spans="1:1" x14ac:dyDescent="0.35">
      <c r="A47" t="s">
        <v>64</v>
      </c>
    </row>
    <row r="48" spans="1:1" x14ac:dyDescent="0.35">
      <c r="A48" t="s">
        <v>65</v>
      </c>
    </row>
    <row r="49" spans="1:1" x14ac:dyDescent="0.35">
      <c r="A49" t="s">
        <v>66</v>
      </c>
    </row>
    <row r="50" spans="1:1" x14ac:dyDescent="0.35">
      <c r="A50" t="s">
        <v>67</v>
      </c>
    </row>
    <row r="51" spans="1:1" x14ac:dyDescent="0.35">
      <c r="A51" t="s">
        <v>68</v>
      </c>
    </row>
    <row r="52" spans="1:1" x14ac:dyDescent="0.35">
      <c r="A52" t="s">
        <v>69</v>
      </c>
    </row>
    <row r="53" spans="1:1" x14ac:dyDescent="0.35">
      <c r="A53" t="s">
        <v>70</v>
      </c>
    </row>
    <row r="54" spans="1:1" x14ac:dyDescent="0.35">
      <c r="A54" t="s">
        <v>71</v>
      </c>
    </row>
    <row r="55" spans="1:1" x14ac:dyDescent="0.35">
      <c r="A55" t="s">
        <v>72</v>
      </c>
    </row>
  </sheetData>
  <sortState xmlns:xlrd2="http://schemas.microsoft.com/office/spreadsheetml/2017/richdata2" ref="A2:S55">
    <sortCondition ref="S1:S55"/>
  </sortState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workbookViewId="0">
      <selection activeCell="G13" sqref="G13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73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15</v>
      </c>
      <c r="M1" t="s">
        <v>16</v>
      </c>
      <c r="N1" t="s">
        <v>13</v>
      </c>
      <c r="O1" t="s">
        <v>74</v>
      </c>
      <c r="P1" t="s">
        <v>17</v>
      </c>
      <c r="Q1" t="s">
        <v>18</v>
      </c>
    </row>
    <row r="2" spans="1:17" x14ac:dyDescent="0.35">
      <c r="A2" t="s">
        <v>39</v>
      </c>
      <c r="B2">
        <v>517.82000732421875</v>
      </c>
      <c r="C2">
        <v>172.60667000000001</v>
      </c>
      <c r="D2">
        <v>13.093787000000001</v>
      </c>
      <c r="E2">
        <v>8.0629999999999993E-2</v>
      </c>
      <c r="F2">
        <v>6.0049999999999999</v>
      </c>
      <c r="H2">
        <v>1.3807816428699711</v>
      </c>
      <c r="I2">
        <v>1.342229071084988</v>
      </c>
      <c r="J2">
        <v>-1.38644914767306</v>
      </c>
      <c r="K2">
        <v>7.1066300882163799E-2</v>
      </c>
      <c r="L2">
        <v>3.961819891482361</v>
      </c>
      <c r="M2">
        <v>3.174762653949744</v>
      </c>
      <c r="N2">
        <v>-0.75932900564767525</v>
      </c>
      <c r="O2">
        <v>0.66860656478547809</v>
      </c>
      <c r="P2">
        <v>1.277597348469113</v>
      </c>
      <c r="Q2">
        <v>1</v>
      </c>
    </row>
    <row r="3" spans="1:17" x14ac:dyDescent="0.35">
      <c r="A3" t="s">
        <v>57</v>
      </c>
      <c r="B3">
        <v>315.27999877929688</v>
      </c>
      <c r="C3">
        <v>370.91762999999997</v>
      </c>
      <c r="D3">
        <v>40.487990000000003</v>
      </c>
      <c r="E3">
        <v>0.119540006</v>
      </c>
      <c r="F3">
        <v>5.9260000000000002</v>
      </c>
      <c r="H3">
        <v>1.1144121620867959</v>
      </c>
      <c r="I3">
        <v>1.71535610302278</v>
      </c>
      <c r="J3">
        <v>-3.7581223195971458</v>
      </c>
      <c r="K3">
        <v>-1.732384242737782</v>
      </c>
      <c r="L3">
        <v>3.1253469915294709</v>
      </c>
      <c r="M3">
        <v>4.0726524470628496</v>
      </c>
      <c r="N3">
        <v>-0.68214422826458421</v>
      </c>
      <c r="O3">
        <v>0.66938471425069435</v>
      </c>
      <c r="P3">
        <v>0.95847672471689693</v>
      </c>
      <c r="Q3">
        <v>2</v>
      </c>
    </row>
    <row r="4" spans="1:17" x14ac:dyDescent="0.35">
      <c r="A4" t="s">
        <v>48</v>
      </c>
      <c r="B4">
        <v>15.36999988555908</v>
      </c>
      <c r="C4">
        <v>2.2470759999999999</v>
      </c>
      <c r="D4">
        <v>1.9431099999999999</v>
      </c>
      <c r="E4">
        <v>1.4780800000000001</v>
      </c>
      <c r="F4">
        <v>42.616</v>
      </c>
      <c r="H4">
        <v>0.15217389128570449</v>
      </c>
      <c r="I4">
        <v>-0.19738902393050281</v>
      </c>
      <c r="J4">
        <v>0.65094343350187633</v>
      </c>
      <c r="K4">
        <v>0.80515206703423692</v>
      </c>
      <c r="L4">
        <v>0.1036560888925471</v>
      </c>
      <c r="M4">
        <v>-0.53016155276688426</v>
      </c>
      <c r="N4">
        <v>2.0127565898672821</v>
      </c>
      <c r="O4">
        <v>0.30798846262047092</v>
      </c>
      <c r="P4">
        <v>0.45601660826484858</v>
      </c>
      <c r="Q4">
        <v>3</v>
      </c>
    </row>
    <row r="5" spans="1:17" x14ac:dyDescent="0.35">
      <c r="A5" t="s">
        <v>31</v>
      </c>
      <c r="B5">
        <v>425.3599853515625</v>
      </c>
      <c r="C5">
        <v>32.054256000000002</v>
      </c>
      <c r="D5">
        <v>3.9458988000000002</v>
      </c>
      <c r="E5">
        <v>0.121759996</v>
      </c>
      <c r="F5">
        <v>73.981999999999999</v>
      </c>
      <c r="G5">
        <v>2.1800000000000002</v>
      </c>
      <c r="H5">
        <v>0.54291776058455143</v>
      </c>
      <c r="I5">
        <v>0.26049696234270803</v>
      </c>
      <c r="J5">
        <v>0.29446848558819477</v>
      </c>
      <c r="K5">
        <v>0.67330188872768293</v>
      </c>
      <c r="L5">
        <v>1.330698528327537</v>
      </c>
      <c r="M5">
        <v>0.57169148465332587</v>
      </c>
      <c r="N5">
        <v>-0.67774049124273217</v>
      </c>
      <c r="O5">
        <v>-9.6642505010944429E-4</v>
      </c>
      <c r="P5">
        <v>0.33746360458920027</v>
      </c>
      <c r="Q5">
        <v>4</v>
      </c>
    </row>
    <row r="6" spans="1:17" x14ac:dyDescent="0.35">
      <c r="A6" t="s">
        <v>19</v>
      </c>
      <c r="B6">
        <v>308.6300048828125</v>
      </c>
      <c r="C6">
        <v>37.319225000000003</v>
      </c>
      <c r="D6">
        <v>42.511017000000002</v>
      </c>
      <c r="E6">
        <v>1.4147099000000001</v>
      </c>
      <c r="F6">
        <v>79.548000000000002</v>
      </c>
      <c r="G6">
        <v>0.35</v>
      </c>
      <c r="H6">
        <v>0.20707389684084451</v>
      </c>
      <c r="I6">
        <v>0.15693848171492331</v>
      </c>
      <c r="J6">
        <v>0.2315027991313697</v>
      </c>
      <c r="K6">
        <v>-1.8655667683585431</v>
      </c>
      <c r="L6">
        <v>0.27605709639204562</v>
      </c>
      <c r="M6">
        <v>0.32248921629156418</v>
      </c>
      <c r="N6">
        <v>1.8870509536038429</v>
      </c>
      <c r="O6">
        <v>-5.5791487371554663E-2</v>
      </c>
      <c r="P6">
        <v>0.30688917817398059</v>
      </c>
      <c r="Q6">
        <v>5</v>
      </c>
    </row>
    <row r="7" spans="1:17" x14ac:dyDescent="0.35">
      <c r="A7" t="s">
        <v>21</v>
      </c>
      <c r="B7">
        <v>194.83000183105469</v>
      </c>
      <c r="C7">
        <v>29.881903000000001</v>
      </c>
      <c r="D7">
        <v>24.142503999999999</v>
      </c>
      <c r="E7">
        <v>1.1428799999999999</v>
      </c>
      <c r="F7">
        <v>6.5549999999999997</v>
      </c>
      <c r="G7">
        <v>0.51</v>
      </c>
      <c r="H7">
        <v>9.9594579593670129E-2</v>
      </c>
      <c r="I7">
        <v>3.6931886934250091E-2</v>
      </c>
      <c r="J7">
        <v>0.32044844821884721</v>
      </c>
      <c r="K7">
        <v>-0.65630710289793259</v>
      </c>
      <c r="L7">
        <v>-6.145730622783252E-2</v>
      </c>
      <c r="M7">
        <v>3.3706342533461289E-2</v>
      </c>
      <c r="N7">
        <v>1.3478289777046899</v>
      </c>
      <c r="O7">
        <v>0.66318906850865533</v>
      </c>
      <c r="P7">
        <v>0.29717476860181369</v>
      </c>
      <c r="Q7">
        <v>6</v>
      </c>
    </row>
    <row r="8" spans="1:17" x14ac:dyDescent="0.35">
      <c r="A8" t="s">
        <v>23</v>
      </c>
      <c r="B8">
        <v>359.91000366210938</v>
      </c>
      <c r="C8">
        <v>27.474045</v>
      </c>
      <c r="D8">
        <v>9.1084174999999998</v>
      </c>
      <c r="E8">
        <v>0.38884996999999999</v>
      </c>
      <c r="F8">
        <v>20.026</v>
      </c>
      <c r="G8">
        <v>0.24</v>
      </c>
      <c r="H8">
        <v>0.2175845234867706</v>
      </c>
      <c r="I8">
        <v>0.13849271047048539</v>
      </c>
      <c r="J8">
        <v>0.34924490112494372</v>
      </c>
      <c r="K8">
        <v>0.3334362917631305</v>
      </c>
      <c r="L8">
        <v>0.30906333391216312</v>
      </c>
      <c r="M8">
        <v>0.27810146544846448</v>
      </c>
      <c r="N8">
        <v>-0.14792098454706201</v>
      </c>
      <c r="O8">
        <v>0.5304998096994229</v>
      </c>
      <c r="P8">
        <v>0.23781682618131059</v>
      </c>
      <c r="Q8">
        <v>7</v>
      </c>
    </row>
    <row r="9" spans="1:17" x14ac:dyDescent="0.35">
      <c r="A9" t="s">
        <v>24</v>
      </c>
      <c r="B9">
        <v>356.17999267578119</v>
      </c>
      <c r="C9">
        <v>27.168572999999999</v>
      </c>
      <c r="D9">
        <v>9.0140200000000004</v>
      </c>
      <c r="E9">
        <v>0.38884996999999999</v>
      </c>
      <c r="F9">
        <v>20.026</v>
      </c>
      <c r="G9">
        <v>0.25</v>
      </c>
      <c r="H9">
        <v>0.21033207194271619</v>
      </c>
      <c r="I9">
        <v>0.12392988232701981</v>
      </c>
      <c r="J9">
        <v>0.35289815229761717</v>
      </c>
      <c r="K9">
        <v>0.33965078987031633</v>
      </c>
      <c r="L9">
        <v>0.28628865583347918</v>
      </c>
      <c r="M9">
        <v>0.24305759665940821</v>
      </c>
      <c r="N9">
        <v>-0.14792098454706201</v>
      </c>
      <c r="O9">
        <v>0.5304998096994229</v>
      </c>
      <c r="P9">
        <v>0.2248142027250141</v>
      </c>
      <c r="Q9">
        <v>8</v>
      </c>
    </row>
    <row r="10" spans="1:17" x14ac:dyDescent="0.35">
      <c r="A10" t="s">
        <v>38</v>
      </c>
      <c r="B10">
        <v>263.04000854492188</v>
      </c>
      <c r="C10">
        <v>30.444445000000002</v>
      </c>
      <c r="D10">
        <v>7.7972429999999999</v>
      </c>
      <c r="E10">
        <v>0.26416000000000001</v>
      </c>
      <c r="F10">
        <v>67.73</v>
      </c>
      <c r="G10">
        <v>2.04</v>
      </c>
      <c r="H10">
        <v>8.8515343796606194E-2</v>
      </c>
      <c r="I10">
        <v>0.30174324019821941</v>
      </c>
      <c r="J10">
        <v>0.31372080306257077</v>
      </c>
      <c r="K10">
        <v>0.4197552244513934</v>
      </c>
      <c r="L10">
        <v>-9.6249131737210794E-2</v>
      </c>
      <c r="M10">
        <v>0.67094618538630635</v>
      </c>
      <c r="N10">
        <v>-0.3952652685945714</v>
      </c>
      <c r="O10">
        <v>6.0615732627518133E-2</v>
      </c>
      <c r="P10">
        <v>0.22471939176648131</v>
      </c>
      <c r="Q10">
        <v>9</v>
      </c>
    </row>
    <row r="11" spans="1:17" x14ac:dyDescent="0.35">
      <c r="A11" t="s">
        <v>34</v>
      </c>
      <c r="B11">
        <v>1213.910034179688</v>
      </c>
      <c r="C11">
        <v>43.107599999999998</v>
      </c>
      <c r="D11">
        <v>34.765586999999996</v>
      </c>
      <c r="E11">
        <v>1.0745899999999999</v>
      </c>
      <c r="F11">
        <v>139.01499999999999</v>
      </c>
      <c r="G11">
        <v>0.56999999999999995</v>
      </c>
      <c r="H11">
        <v>0.29972818942843582</v>
      </c>
      <c r="I11">
        <v>0.1694840586391351</v>
      </c>
      <c r="J11">
        <v>0.16227750923041781</v>
      </c>
      <c r="K11">
        <v>-1.355659619606296</v>
      </c>
      <c r="L11">
        <v>0.56701687371320642</v>
      </c>
      <c r="M11">
        <v>0.35267878848756401</v>
      </c>
      <c r="N11">
        <v>1.2123638624463859</v>
      </c>
      <c r="O11">
        <v>-0.6415410348148497</v>
      </c>
      <c r="P11">
        <v>0.21464362068341661</v>
      </c>
      <c r="Q11">
        <v>10</v>
      </c>
    </row>
    <row r="12" spans="1:17" x14ac:dyDescent="0.35">
      <c r="A12" t="s">
        <v>37</v>
      </c>
      <c r="B12">
        <v>151.4100036621094</v>
      </c>
      <c r="C12">
        <v>22.135964999999999</v>
      </c>
      <c r="D12">
        <v>6.5599413000000002</v>
      </c>
      <c r="E12">
        <v>0.31112000000000001</v>
      </c>
      <c r="F12">
        <v>67.650999999999996</v>
      </c>
      <c r="G12">
        <v>2.81</v>
      </c>
      <c r="H12">
        <v>6.5889660915211312E-2</v>
      </c>
      <c r="I12">
        <v>9.4487812044873554E-2</v>
      </c>
      <c r="J12">
        <v>0.41308494872284007</v>
      </c>
      <c r="K12">
        <v>0.50121086758460964</v>
      </c>
      <c r="L12">
        <v>-0.16729995376670739</v>
      </c>
      <c r="M12">
        <v>0.17220844306909619</v>
      </c>
      <c r="N12">
        <v>-0.30211192531546838</v>
      </c>
      <c r="O12">
        <v>6.1393882092734553E-2</v>
      </c>
      <c r="P12">
        <v>9.5059229961228814E-2</v>
      </c>
      <c r="Q12">
        <v>11</v>
      </c>
    </row>
    <row r="13" spans="1:17" x14ac:dyDescent="0.35">
      <c r="A13" t="s">
        <v>29</v>
      </c>
      <c r="B13">
        <v>362.1300048828125</v>
      </c>
      <c r="C13">
        <v>31.544426000000001</v>
      </c>
      <c r="D13">
        <v>19.425491000000001</v>
      </c>
      <c r="E13">
        <v>0.60348999999999997</v>
      </c>
      <c r="F13">
        <v>67.233000000000004</v>
      </c>
      <c r="G13">
        <v>0.74</v>
      </c>
      <c r="H13">
        <v>0.20638554111527771</v>
      </c>
      <c r="I13">
        <v>2.778132412503331E-2</v>
      </c>
      <c r="J13">
        <v>0.30056572869186421</v>
      </c>
      <c r="K13">
        <v>-0.34577061241809109</v>
      </c>
      <c r="L13">
        <v>0.27389547146312693</v>
      </c>
      <c r="M13">
        <v>1.168650412892043E-2</v>
      </c>
      <c r="N13">
        <v>0.27785491826441477</v>
      </c>
      <c r="O13">
        <v>6.5511179263119682E-2</v>
      </c>
      <c r="P13">
        <v>9.4506538888206551E-2</v>
      </c>
      <c r="Q13">
        <v>12</v>
      </c>
    </row>
    <row r="14" spans="1:17" x14ac:dyDescent="0.35">
      <c r="A14" t="s">
        <v>22</v>
      </c>
      <c r="B14">
        <v>242.66999816894531</v>
      </c>
      <c r="C14">
        <v>31.638850999999999</v>
      </c>
      <c r="D14">
        <v>5.9053855000000004</v>
      </c>
      <c r="E14">
        <v>0.24285000000000001</v>
      </c>
      <c r="F14">
        <v>53.3</v>
      </c>
      <c r="H14">
        <v>0.1568384098126443</v>
      </c>
      <c r="I14">
        <v>4.1234020042137498E-2</v>
      </c>
      <c r="J14">
        <v>0.29943646564327159</v>
      </c>
      <c r="K14">
        <v>0.54430243018052049</v>
      </c>
      <c r="L14">
        <v>0.1183039506807726</v>
      </c>
      <c r="M14">
        <v>4.4058959941331327E-2</v>
      </c>
      <c r="N14">
        <v>-0.4375373670885595</v>
      </c>
      <c r="O14">
        <v>0.20275113494488331</v>
      </c>
      <c r="P14">
        <v>6.7342157870779684E-2</v>
      </c>
      <c r="Q14">
        <v>13</v>
      </c>
    </row>
    <row r="15" spans="1:17" x14ac:dyDescent="0.35">
      <c r="A15" t="s">
        <v>27</v>
      </c>
      <c r="B15">
        <v>507.77999877929688</v>
      </c>
      <c r="C15">
        <v>15.121499999999999</v>
      </c>
      <c r="D15">
        <v>1.0043923000000001E-3</v>
      </c>
      <c r="E15">
        <v>0.10499</v>
      </c>
      <c r="F15">
        <v>17.669</v>
      </c>
      <c r="H15">
        <v>6.3747758011303723E-2</v>
      </c>
      <c r="I15">
        <v>1.8575001945149831E-2</v>
      </c>
      <c r="J15">
        <v>0.49697349656659262</v>
      </c>
      <c r="K15">
        <v>0.93300727107043069</v>
      </c>
      <c r="L15">
        <v>-0.1740261137163433</v>
      </c>
      <c r="M15">
        <v>-1.046751316245164E-2</v>
      </c>
      <c r="N15">
        <v>-0.71100670065877092</v>
      </c>
      <c r="O15">
        <v>0.55371624374391559</v>
      </c>
      <c r="P15">
        <v>6.6762674204925584E-2</v>
      </c>
      <c r="Q15">
        <v>14</v>
      </c>
    </row>
    <row r="16" spans="1:17" x14ac:dyDescent="0.35">
      <c r="A16" t="s">
        <v>30</v>
      </c>
      <c r="B16">
        <v>539.3900146484375</v>
      </c>
      <c r="C16">
        <v>31.250869999999999</v>
      </c>
      <c r="D16">
        <v>71.197204999999997</v>
      </c>
      <c r="E16">
        <v>2.3207599999999999</v>
      </c>
      <c r="F16">
        <v>282.05900000000003</v>
      </c>
      <c r="G16">
        <v>0.65</v>
      </c>
      <c r="H16">
        <v>9.5000323084202032E-2</v>
      </c>
      <c r="I16">
        <v>-4.8263953281248002E-2</v>
      </c>
      <c r="J16">
        <v>0.30407647207012911</v>
      </c>
      <c r="K16">
        <v>-3.7540729367250369</v>
      </c>
      <c r="L16">
        <v>-7.5884526096652222E-2</v>
      </c>
      <c r="M16">
        <v>-0.17130822032979531</v>
      </c>
      <c r="N16">
        <v>3.6843592158135001</v>
      </c>
      <c r="O16">
        <v>-2.0505234664908838</v>
      </c>
      <c r="P16">
        <v>3.5409201062483048E-2</v>
      </c>
      <c r="Q16">
        <v>15</v>
      </c>
    </row>
    <row r="17" spans="1:17" x14ac:dyDescent="0.35">
      <c r="A17" t="s">
        <v>32</v>
      </c>
      <c r="B17">
        <v>137.0899963378906</v>
      </c>
      <c r="C17">
        <v>23.079124</v>
      </c>
      <c r="D17">
        <v>2.2086709</v>
      </c>
      <c r="E17">
        <v>9.8729999999999998E-2</v>
      </c>
      <c r="F17">
        <v>18.260999999999999</v>
      </c>
      <c r="G17">
        <v>3.01</v>
      </c>
      <c r="H17">
        <v>-0.14107604190178891</v>
      </c>
      <c r="I17">
        <v>0.1083315430316059</v>
      </c>
      <c r="J17">
        <v>0.40180536590422661</v>
      </c>
      <c r="K17">
        <v>0.78766931897001335</v>
      </c>
      <c r="L17">
        <v>-0.8172287711263978</v>
      </c>
      <c r="M17">
        <v>0.20552188242790129</v>
      </c>
      <c r="N17">
        <v>-0.7234245015303038</v>
      </c>
      <c r="O17">
        <v>0.54788504775140834</v>
      </c>
      <c r="P17">
        <v>2.3428955476628269E-2</v>
      </c>
      <c r="Q17">
        <v>16</v>
      </c>
    </row>
    <row r="18" spans="1:17" x14ac:dyDescent="0.35">
      <c r="A18" t="s">
        <v>47</v>
      </c>
      <c r="B18">
        <v>74.430000305175781</v>
      </c>
      <c r="C18">
        <v>18.468983000000001</v>
      </c>
      <c r="D18">
        <v>6.1239094999999999</v>
      </c>
      <c r="E18">
        <v>0.35310000000000002</v>
      </c>
      <c r="F18">
        <v>48.113</v>
      </c>
      <c r="H18">
        <v>3.605239559177309E-2</v>
      </c>
      <c r="I18">
        <v>-7.8152064968349921E-2</v>
      </c>
      <c r="J18">
        <v>0.4569397252381095</v>
      </c>
      <c r="K18">
        <v>0.52991627605170699</v>
      </c>
      <c r="L18">
        <v>-0.26099711373555529</v>
      </c>
      <c r="M18">
        <v>-0.24323072425534181</v>
      </c>
      <c r="N18">
        <v>-0.21883727985429419</v>
      </c>
      <c r="O18">
        <v>0.25384304983193612</v>
      </c>
      <c r="P18">
        <v>-6.7007754263687033E-3</v>
      </c>
      <c r="Q18">
        <v>17</v>
      </c>
    </row>
    <row r="19" spans="1:17" x14ac:dyDescent="0.35">
      <c r="A19" t="s">
        <v>25</v>
      </c>
      <c r="B19">
        <v>582.9000244140625</v>
      </c>
      <c r="C19">
        <v>21.188659999999999</v>
      </c>
      <c r="D19">
        <v>6.071053</v>
      </c>
      <c r="E19">
        <v>0.32930002000000003</v>
      </c>
      <c r="F19">
        <v>35.607999999999997</v>
      </c>
      <c r="G19">
        <v>0.36</v>
      </c>
      <c r="H19">
        <v>1.5632487447408971E-2</v>
      </c>
      <c r="I19">
        <v>-0.11361769142325941</v>
      </c>
      <c r="J19">
        <v>0.42441411506911542</v>
      </c>
      <c r="K19">
        <v>0.53339599340865473</v>
      </c>
      <c r="L19">
        <v>-0.32512120081965917</v>
      </c>
      <c r="M19">
        <v>-0.32857491343093193</v>
      </c>
      <c r="N19">
        <v>-0.26604868758376149</v>
      </c>
      <c r="O19">
        <v>0.37701721518042203</v>
      </c>
      <c r="P19">
        <v>-4.3208749406499103E-2</v>
      </c>
      <c r="Q19">
        <v>18</v>
      </c>
    </row>
    <row r="20" spans="1:17" x14ac:dyDescent="0.35">
      <c r="A20" t="s">
        <v>33</v>
      </c>
      <c r="B20">
        <v>360.45001220703119</v>
      </c>
      <c r="C20">
        <v>59.875416000000001</v>
      </c>
      <c r="D20">
        <v>19.557787000000001</v>
      </c>
      <c r="E20">
        <v>0.37280997999999999</v>
      </c>
      <c r="F20">
        <v>74.018000000000001</v>
      </c>
      <c r="G20">
        <v>0.72</v>
      </c>
      <c r="H20">
        <v>0.14773643904553599</v>
      </c>
      <c r="I20">
        <v>5.345577006401947E-2</v>
      </c>
      <c r="J20">
        <v>-3.8254924070088882E-2</v>
      </c>
      <c r="K20">
        <v>-0.35448009351227527</v>
      </c>
      <c r="L20">
        <v>8.9721277243619654E-2</v>
      </c>
      <c r="M20">
        <v>7.3469277766970029E-2</v>
      </c>
      <c r="N20">
        <v>-0.17973909985079661</v>
      </c>
      <c r="O20">
        <v>-1.321024806410576E-3</v>
      </c>
      <c r="P20">
        <v>-5.0079124718878189E-2</v>
      </c>
      <c r="Q20">
        <v>19</v>
      </c>
    </row>
    <row r="21" spans="1:17" x14ac:dyDescent="0.35">
      <c r="A21" t="s">
        <v>20</v>
      </c>
      <c r="B21">
        <v>390.489990234375</v>
      </c>
      <c r="C21">
        <v>23.257294000000002</v>
      </c>
      <c r="D21">
        <v>7.0009139999999999</v>
      </c>
      <c r="E21">
        <v>0.34013999</v>
      </c>
      <c r="F21">
        <v>30.271000000000001</v>
      </c>
      <c r="G21">
        <v>0.93</v>
      </c>
      <c r="H21">
        <v>4.7865264105437337E-2</v>
      </c>
      <c r="I21">
        <v>-0.17050025885450301</v>
      </c>
      <c r="J21">
        <v>0.39967456582619909</v>
      </c>
      <c r="K21">
        <v>0.47218018340896301</v>
      </c>
      <c r="L21">
        <v>-0.2239014811828525</v>
      </c>
      <c r="M21">
        <v>-0.46545665163503191</v>
      </c>
      <c r="N21">
        <v>-0.24454571810877909</v>
      </c>
      <c r="O21">
        <v>0.4295866290520628</v>
      </c>
      <c r="P21">
        <v>-7.6229733991396209E-2</v>
      </c>
      <c r="Q21">
        <v>20</v>
      </c>
    </row>
    <row r="22" spans="1:17" x14ac:dyDescent="0.35">
      <c r="A22" t="s">
        <v>35</v>
      </c>
      <c r="B22">
        <v>357.89999389648438</v>
      </c>
      <c r="C22">
        <v>25.437100000000001</v>
      </c>
      <c r="D22">
        <v>25.718596000000002</v>
      </c>
      <c r="E22">
        <v>1.2838000000000001</v>
      </c>
      <c r="F22">
        <v>459.35599999999999</v>
      </c>
      <c r="G22">
        <v>2.6</v>
      </c>
      <c r="H22">
        <v>0.1211157751242506</v>
      </c>
      <c r="I22">
        <v>5.4942588642475698E-2</v>
      </c>
      <c r="J22">
        <v>0.37360547004753331</v>
      </c>
      <c r="K22">
        <v>-0.76006642651085365</v>
      </c>
      <c r="L22">
        <v>6.1251239476851193E-3</v>
      </c>
      <c r="M22">
        <v>7.7047145655216101E-2</v>
      </c>
      <c r="N22">
        <v>1.627368354512424</v>
      </c>
      <c r="O22">
        <v>-3.7968977162942021</v>
      </c>
      <c r="P22">
        <v>-7.6717757453444613E-2</v>
      </c>
      <c r="Q22">
        <v>21</v>
      </c>
    </row>
    <row r="23" spans="1:17" x14ac:dyDescent="0.35">
      <c r="A23" t="s">
        <v>53</v>
      </c>
      <c r="B23">
        <v>99.5</v>
      </c>
      <c r="C23">
        <v>15.92</v>
      </c>
      <c r="D23">
        <v>1.5971876</v>
      </c>
      <c r="E23">
        <v>0.1101</v>
      </c>
      <c r="F23">
        <v>41.069000000000003</v>
      </c>
      <c r="G23">
        <v>1.51</v>
      </c>
      <c r="H23">
        <v>3.7805766487686521E-2</v>
      </c>
      <c r="I23">
        <v>-0.1210448526691149</v>
      </c>
      <c r="J23">
        <v>0.48742394354248653</v>
      </c>
      <c r="K23">
        <v>0.82792527713019481</v>
      </c>
      <c r="L23">
        <v>-0.25549105037692471</v>
      </c>
      <c r="M23">
        <v>-0.34644757261572862</v>
      </c>
      <c r="N23">
        <v>-0.70087012518696057</v>
      </c>
      <c r="O23">
        <v>0.32322640214818832</v>
      </c>
      <c r="P23">
        <v>-8.7964574635715498E-2</v>
      </c>
      <c r="Q23">
        <v>22</v>
      </c>
    </row>
    <row r="24" spans="1:17" x14ac:dyDescent="0.35">
      <c r="A24" t="s">
        <v>56</v>
      </c>
      <c r="B24">
        <v>45.470001220703118</v>
      </c>
      <c r="C24">
        <v>8.5309570000000008</v>
      </c>
      <c r="D24">
        <v>2.0255702000000002</v>
      </c>
      <c r="E24">
        <v>0.25120002000000002</v>
      </c>
      <c r="F24">
        <v>58.28</v>
      </c>
      <c r="G24">
        <v>1.23</v>
      </c>
      <c r="H24">
        <v>6.1731010813437237E-3</v>
      </c>
      <c r="I24">
        <v>-0.22823391081336039</v>
      </c>
      <c r="J24">
        <v>0.5757922064427996</v>
      </c>
      <c r="K24">
        <v>0.79972344067423629</v>
      </c>
      <c r="L24">
        <v>-0.35482625682732621</v>
      </c>
      <c r="M24">
        <v>-0.60438643258332048</v>
      </c>
      <c r="N24">
        <v>-0.42097364733882831</v>
      </c>
      <c r="O24">
        <v>0.1536981686565618</v>
      </c>
      <c r="P24">
        <v>-0.13766432940547491</v>
      </c>
      <c r="Q24">
        <v>23</v>
      </c>
    </row>
    <row r="25" spans="1:17" x14ac:dyDescent="0.35">
      <c r="A25" t="s">
        <v>36</v>
      </c>
      <c r="B25">
        <v>951.66998291015625</v>
      </c>
      <c r="C25">
        <v>47.870724000000003</v>
      </c>
      <c r="D25">
        <v>25.528997</v>
      </c>
      <c r="E25">
        <v>0.29152</v>
      </c>
      <c r="F25">
        <v>60.256999999999998</v>
      </c>
      <c r="G25">
        <v>0.62</v>
      </c>
      <c r="H25">
        <v>-6.0996647337360987E-2</v>
      </c>
      <c r="I25">
        <v>8.9767404996495603E-2</v>
      </c>
      <c r="J25">
        <v>0.105313570347021</v>
      </c>
      <c r="K25">
        <v>-0.74758450033034751</v>
      </c>
      <c r="L25">
        <v>-0.56575760708450906</v>
      </c>
      <c r="M25">
        <v>0.16084929472204121</v>
      </c>
      <c r="N25">
        <v>-0.34099194082378231</v>
      </c>
      <c r="O25">
        <v>0.1342247320396921</v>
      </c>
      <c r="P25">
        <v>-0.1535034613096033</v>
      </c>
      <c r="Q25">
        <v>24</v>
      </c>
    </row>
    <row r="26" spans="1:17" x14ac:dyDescent="0.35">
      <c r="A26" t="s">
        <v>40</v>
      </c>
      <c r="B26">
        <v>77.650001525878906</v>
      </c>
      <c r="C26">
        <v>25.048387999999999</v>
      </c>
      <c r="D26">
        <v>10.508864000000001</v>
      </c>
      <c r="E26">
        <v>0.48494998</v>
      </c>
      <c r="F26">
        <v>53.787999999999997</v>
      </c>
      <c r="H26">
        <v>-0.21295359169238931</v>
      </c>
      <c r="I26">
        <v>-0.15099494529667351</v>
      </c>
      <c r="J26">
        <v>0.37825421877027138</v>
      </c>
      <c r="K26">
        <v>0.24124028950178891</v>
      </c>
      <c r="L26">
        <v>-1.042943903123041</v>
      </c>
      <c r="M26">
        <v>-0.4185192269620166</v>
      </c>
      <c r="N26">
        <v>4.2710131736056103E-2</v>
      </c>
      <c r="O26">
        <v>0.197944338248357</v>
      </c>
      <c r="P26">
        <v>-0.16061346294698101</v>
      </c>
      <c r="Q26">
        <v>25</v>
      </c>
    </row>
    <row r="27" spans="1:17" x14ac:dyDescent="0.35">
      <c r="A27" t="s">
        <v>40</v>
      </c>
      <c r="B27">
        <v>77.650001525878906</v>
      </c>
      <c r="C27">
        <v>25.048387999999999</v>
      </c>
      <c r="D27">
        <v>10.508864000000001</v>
      </c>
      <c r="E27">
        <v>0.48494998</v>
      </c>
      <c r="F27">
        <v>53.787999999999997</v>
      </c>
      <c r="H27">
        <v>-0.21295359169238931</v>
      </c>
      <c r="I27">
        <v>-0.15099494529667351</v>
      </c>
      <c r="J27">
        <v>0.37825421877027138</v>
      </c>
      <c r="K27">
        <v>0.24124028950178891</v>
      </c>
      <c r="L27">
        <v>-1.042943903123041</v>
      </c>
      <c r="M27">
        <v>-0.4185192269620166</v>
      </c>
      <c r="N27">
        <v>4.2710131736056103E-2</v>
      </c>
      <c r="O27">
        <v>0.197944338248357</v>
      </c>
      <c r="P27">
        <v>-0.16061346294698101</v>
      </c>
      <c r="Q27">
        <v>26</v>
      </c>
    </row>
    <row r="28" spans="1:17" x14ac:dyDescent="0.35">
      <c r="A28" t="s">
        <v>43</v>
      </c>
      <c r="B28">
        <v>219.7200012207031</v>
      </c>
      <c r="C28">
        <v>12.562608000000001</v>
      </c>
      <c r="D28">
        <v>7.6114592999999999</v>
      </c>
      <c r="E28">
        <v>0.62953996999999995</v>
      </c>
      <c r="F28">
        <v>61.442999999999998</v>
      </c>
      <c r="H28">
        <v>-9.5504681060087582E-2</v>
      </c>
      <c r="I28">
        <v>-0.33731450464896962</v>
      </c>
      <c r="J28">
        <v>0.52757622021964312</v>
      </c>
      <c r="K28">
        <v>0.43198597687593832</v>
      </c>
      <c r="L28">
        <v>-0.67412225514724011</v>
      </c>
      <c r="M28">
        <v>-0.86687706834095413</v>
      </c>
      <c r="N28">
        <v>0.32952957324355298</v>
      </c>
      <c r="O28">
        <v>0.1225426400682163</v>
      </c>
      <c r="P28">
        <v>-0.16789487581173521</v>
      </c>
      <c r="Q28">
        <v>27</v>
      </c>
    </row>
    <row r="29" spans="1:17" x14ac:dyDescent="0.35">
      <c r="A29" t="s">
        <v>54</v>
      </c>
      <c r="B29">
        <v>96.139999389648438</v>
      </c>
      <c r="C29">
        <v>14.859351</v>
      </c>
      <c r="D29">
        <v>1.4259900000000001</v>
      </c>
      <c r="E29">
        <v>9.2159993999999995E-2</v>
      </c>
      <c r="F29">
        <v>25.013999999999999</v>
      </c>
      <c r="G29">
        <v>1.0900000000000001</v>
      </c>
      <c r="H29">
        <v>-0.2050557679540361</v>
      </c>
      <c r="I29">
        <v>-0.37909285879492421</v>
      </c>
      <c r="J29">
        <v>0.50010863216548607</v>
      </c>
      <c r="K29">
        <v>0.83919577858579208</v>
      </c>
      <c r="L29">
        <v>-1.0181425801399679</v>
      </c>
      <c r="M29">
        <v>-0.96741215304361194</v>
      </c>
      <c r="N29">
        <v>-0.73645725332467704</v>
      </c>
      <c r="O29">
        <v>0.4813680434652568</v>
      </c>
      <c r="P29">
        <v>-0.37341836723116978</v>
      </c>
      <c r="Q29">
        <v>28</v>
      </c>
    </row>
    <row r="30" spans="1:17" x14ac:dyDescent="0.35">
      <c r="A30" t="s">
        <v>71</v>
      </c>
      <c r="B30">
        <v>33.159999847412109</v>
      </c>
      <c r="C30">
        <v>77.116280000000003</v>
      </c>
      <c r="D30">
        <v>6.8020509999999996</v>
      </c>
      <c r="E30">
        <v>8.1190004999999996E-2</v>
      </c>
      <c r="F30">
        <v>22.449000000000002</v>
      </c>
      <c r="H30">
        <v>-2.6995361919383679E-2</v>
      </c>
      <c r="I30">
        <v>-0.31045956036189248</v>
      </c>
      <c r="J30">
        <v>-0.24444471110753649</v>
      </c>
      <c r="K30">
        <v>0.48527198919925713</v>
      </c>
      <c r="L30">
        <v>-0.45898428706271399</v>
      </c>
      <c r="M30">
        <v>-0.80225355327489012</v>
      </c>
      <c r="N30">
        <v>-0.75821813814335215</v>
      </c>
      <c r="O30">
        <v>0.50663327610171149</v>
      </c>
      <c r="P30">
        <v>-0.38898233095421281</v>
      </c>
      <c r="Q30">
        <v>29</v>
      </c>
    </row>
    <row r="31" spans="1:17" x14ac:dyDescent="0.35">
      <c r="A31" t="s">
        <v>41</v>
      </c>
      <c r="B31">
        <v>166.11000061035159</v>
      </c>
      <c r="C31">
        <v>19.225695000000002</v>
      </c>
      <c r="D31">
        <v>3.9738286</v>
      </c>
      <c r="E31">
        <v>0.16908000000000001</v>
      </c>
      <c r="F31">
        <v>124.282</v>
      </c>
      <c r="G31">
        <v>1.06</v>
      </c>
      <c r="H31">
        <v>-0.1080497510676838</v>
      </c>
      <c r="I31">
        <v>-0.34849279727518301</v>
      </c>
      <c r="J31">
        <v>0.44788993016237078</v>
      </c>
      <c r="K31">
        <v>0.6714631780707897</v>
      </c>
      <c r="L31">
        <v>-0.71351720031330357</v>
      </c>
      <c r="M31">
        <v>-0.89377641894919924</v>
      </c>
      <c r="N31">
        <v>-0.58387301729510599</v>
      </c>
      <c r="O31">
        <v>-0.496421084548617</v>
      </c>
      <c r="P31">
        <v>-0.40616455958239062</v>
      </c>
      <c r="Q31">
        <v>30</v>
      </c>
    </row>
    <row r="32" spans="1:17" x14ac:dyDescent="0.35">
      <c r="A32" t="s">
        <v>51</v>
      </c>
      <c r="B32">
        <v>165.47999572753909</v>
      </c>
      <c r="C32">
        <v>61.062730000000002</v>
      </c>
      <c r="D32">
        <v>3.2334838000000001</v>
      </c>
      <c r="E32">
        <v>6.6860000000000003E-2</v>
      </c>
      <c r="F32">
        <v>59.081000000000003</v>
      </c>
      <c r="H32">
        <v>-3.4877001937294823E-2</v>
      </c>
      <c r="I32">
        <v>-0.35085518234678048</v>
      </c>
      <c r="J32">
        <v>-5.2454445672172181E-2</v>
      </c>
      <c r="K32">
        <v>0.72020251288648773</v>
      </c>
      <c r="L32">
        <v>-0.48373478874474951</v>
      </c>
      <c r="M32">
        <v>-0.89946124278030604</v>
      </c>
      <c r="N32">
        <v>-0.78664420021652626</v>
      </c>
      <c r="O32">
        <v>0.14580832407886191</v>
      </c>
      <c r="P32">
        <v>-0.41207125173032277</v>
      </c>
      <c r="Q32">
        <v>31</v>
      </c>
    </row>
    <row r="33" spans="1:17" x14ac:dyDescent="0.35">
      <c r="A33" t="s">
        <v>49</v>
      </c>
      <c r="B33">
        <v>119.4599990844727</v>
      </c>
      <c r="C33">
        <v>117.117645</v>
      </c>
      <c r="D33">
        <v>12.430801000000001</v>
      </c>
      <c r="E33">
        <v>0.11311</v>
      </c>
      <c r="F33">
        <v>1.4319999999999999</v>
      </c>
      <c r="H33">
        <v>1.023255039723181E-2</v>
      </c>
      <c r="I33">
        <v>-0.28127071620829253</v>
      </c>
      <c r="J33">
        <v>-0.72283563922791427</v>
      </c>
      <c r="K33">
        <v>0.1147128512896501</v>
      </c>
      <c r="L33">
        <v>-0.34207847757165127</v>
      </c>
      <c r="M33">
        <v>-0.73201376093881487</v>
      </c>
      <c r="N33">
        <v>-0.69489926566246951</v>
      </c>
      <c r="O33">
        <v>0.71365058382895064</v>
      </c>
      <c r="P33">
        <v>-0.42429442524345312</v>
      </c>
      <c r="Q33">
        <v>32</v>
      </c>
    </row>
    <row r="34" spans="1:17" x14ac:dyDescent="0.35">
      <c r="A34" t="s">
        <v>42</v>
      </c>
      <c r="B34">
        <v>140.27000427246091</v>
      </c>
      <c r="C34">
        <v>24.018834999999999</v>
      </c>
      <c r="D34">
        <v>10.756902</v>
      </c>
      <c r="E34">
        <v>0.53376000000000001</v>
      </c>
      <c r="F34">
        <v>388.87</v>
      </c>
      <c r="G34">
        <v>1.43</v>
      </c>
      <c r="H34">
        <v>-3.8393907302391783E-2</v>
      </c>
      <c r="I34">
        <v>-0.26718936100147239</v>
      </c>
      <c r="J34">
        <v>0.3905670189764423</v>
      </c>
      <c r="K34">
        <v>0.22491113161614409</v>
      </c>
      <c r="L34">
        <v>-0.49477883185717031</v>
      </c>
      <c r="M34">
        <v>-0.69812850462880893</v>
      </c>
      <c r="N34">
        <v>0.13953331207080649</v>
      </c>
      <c r="O34">
        <v>-3.1026110934430728</v>
      </c>
      <c r="P34">
        <v>-0.49415879609258179</v>
      </c>
      <c r="Q34">
        <v>33</v>
      </c>
    </row>
    <row r="35" spans="1:17" x14ac:dyDescent="0.35">
      <c r="A35" t="s">
        <v>45</v>
      </c>
      <c r="B35">
        <v>129.30000305175781</v>
      </c>
      <c r="C35">
        <v>145.2809</v>
      </c>
      <c r="D35">
        <v>36.68085</v>
      </c>
      <c r="E35">
        <v>0.32586999999999999</v>
      </c>
      <c r="F35">
        <v>2.4769999999999999</v>
      </c>
      <c r="H35">
        <v>-0.12905835104155161</v>
      </c>
      <c r="I35">
        <v>-0.2570672946465794</v>
      </c>
      <c r="J35">
        <v>-1.059650287886551</v>
      </c>
      <c r="K35">
        <v>-1.481747686432886</v>
      </c>
      <c r="L35">
        <v>-0.77948994048016951</v>
      </c>
      <c r="M35">
        <v>-0.67377084815435861</v>
      </c>
      <c r="N35">
        <v>-0.27285272997120169</v>
      </c>
      <c r="O35">
        <v>0.70335734090298763</v>
      </c>
      <c r="P35">
        <v>-0.61832132690405883</v>
      </c>
      <c r="Q35">
        <v>34</v>
      </c>
    </row>
    <row r="36" spans="1:17" x14ac:dyDescent="0.35">
      <c r="A36" t="s">
        <v>26</v>
      </c>
      <c r="B36">
        <v>393.45001220703119</v>
      </c>
      <c r="C36">
        <v>354.45947000000001</v>
      </c>
      <c r="D36">
        <v>17.968216000000002</v>
      </c>
      <c r="E36">
        <v>4.9009999999999998E-2</v>
      </c>
      <c r="F36">
        <v>18.738</v>
      </c>
      <c r="H36">
        <v>9.1128473343306871E-2</v>
      </c>
      <c r="I36">
        <v>-0.12889941658705689</v>
      </c>
      <c r="J36">
        <v>-3.5612931754528478</v>
      </c>
      <c r="K36">
        <v>-0.24983340296710779</v>
      </c>
      <c r="L36">
        <v>-8.8043191464118681E-2</v>
      </c>
      <c r="M36">
        <v>-0.36534873004366442</v>
      </c>
      <c r="N36">
        <v>-0.82205278576874075</v>
      </c>
      <c r="O36">
        <v>0.54318660098041849</v>
      </c>
      <c r="P36">
        <v>-0.71622645555540654</v>
      </c>
      <c r="Q36">
        <v>35</v>
      </c>
    </row>
    <row r="37" spans="1:17" x14ac:dyDescent="0.35">
      <c r="A37" t="s">
        <v>28</v>
      </c>
      <c r="B37">
        <v>334.47000122070313</v>
      </c>
      <c r="C37">
        <v>16.018678999999999</v>
      </c>
      <c r="D37">
        <v>2.6053326000000001</v>
      </c>
      <c r="E37">
        <v>0.16465001000000001</v>
      </c>
      <c r="G37">
        <v>1.79</v>
      </c>
      <c r="H37">
        <v>0.14114634682940499</v>
      </c>
      <c r="I37">
        <v>1.0951197327156549E-2</v>
      </c>
      <c r="J37">
        <v>0.48624380535480238</v>
      </c>
      <c r="K37">
        <v>0.76155577376126193</v>
      </c>
      <c r="L37">
        <v>6.9026588307122397E-2</v>
      </c>
      <c r="M37">
        <v>-2.8813373326037939E-2</v>
      </c>
      <c r="N37">
        <v>-0.59266067443294657</v>
      </c>
      <c r="Q37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Tickers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Xu</dc:creator>
  <cp:lastModifiedBy>Kevin Xu</cp:lastModifiedBy>
  <dcterms:created xsi:type="dcterms:W3CDTF">2026-03-29T07:18:07Z</dcterms:created>
  <dcterms:modified xsi:type="dcterms:W3CDTF">2026-07-03T04:34:52Z</dcterms:modified>
</cp:coreProperties>
</file>